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人主表" sheetId="1" state="visible" r:id="rId1"/>
    <sheet xmlns:r="http://schemas.openxmlformats.org/officeDocument/2006/relationships" name="漏斗转化看板" sheetId="2" state="visible" r:id="rId2"/>
    <sheet xmlns:r="http://schemas.openxmlformats.org/officeDocument/2006/relationships" name="一面评分表" sheetId="3" state="visible" r:id="rId3"/>
    <sheet xmlns:r="http://schemas.openxmlformats.org/officeDocument/2006/relationships" name="试用期 90 天追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5.4" customWidth="1" min="2" max="2"/>
    <col width="13.2" customWidth="1" min="3" max="3"/>
    <col width="10" customWidth="1" min="4" max="4"/>
    <col width="10" customWidth="1" min="5" max="5"/>
    <col width="15.4" customWidth="1" min="6" max="6"/>
    <col width="15.4" customWidth="1" min="7" max="7"/>
    <col width="16.5" customWidth="1" min="8" max="8"/>
    <col width="15.4" customWidth="1" min="9" max="9"/>
    <col width="25.3" customWidth="1" min="10" max="10"/>
    <col width="15.4" customWidth="1" min="11" max="11"/>
    <col width="18.7" customWidth="1" min="12" max="12"/>
    <col width="15.4" customWidth="1" min="13" max="13"/>
    <col width="15.4" customWidth="1" min="14" max="14"/>
    <col width="15.4" customWidth="1" min="15" max="15"/>
    <col width="15.4" customWidth="1" min="16" max="16"/>
    <col width="15.4" customWidth="1" min="17" max="17"/>
    <col width="20.9" customWidth="1" min="18" max="18"/>
    <col width="15.4" customWidth="1" min="19" max="19"/>
    <col width="25.3" customWidth="1" min="20" max="20"/>
    <col width="10" customWidth="1" min="21" max="21"/>
  </cols>
  <sheetData>
    <row r="1">
      <c r="A1" s="1" t="inlineStr">
        <is>
          <t>候选人编号</t>
        </is>
      </c>
      <c r="B1" s="1" t="inlineStr">
        <is>
          <t>投递日期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简历来源</t>
        </is>
      </c>
      <c r="G1" s="1" t="inlineStr">
        <is>
          <t>联系电话</t>
        </is>
      </c>
      <c r="H1" s="1" t="inlineStr">
        <is>
          <t>邮箱</t>
        </is>
      </c>
      <c r="I1" s="1" t="inlineStr">
        <is>
          <t>当前状态</t>
        </is>
      </c>
      <c r="J1" s="1" t="inlineStr">
        <is>
          <t>国际站经验年限</t>
        </is>
      </c>
      <c r="K1" s="1" t="inlineStr">
        <is>
          <t>英语水平</t>
        </is>
      </c>
      <c r="L1" s="1" t="inlineStr">
        <is>
          <t>期望薪资(K)</t>
        </is>
      </c>
      <c r="M1" s="1" t="inlineStr">
        <is>
          <t>初筛结果</t>
        </is>
      </c>
      <c r="N1" s="1" t="inlineStr">
        <is>
          <t>一面日期</t>
        </is>
      </c>
      <c r="O1" s="1" t="inlineStr">
        <is>
          <t>一面结果</t>
        </is>
      </c>
      <c r="P1" s="1" t="inlineStr">
        <is>
          <t>二面日期</t>
        </is>
      </c>
      <c r="Q1" s="1" t="inlineStr">
        <is>
          <t>二面结果</t>
        </is>
      </c>
      <c r="R1" s="1" t="inlineStr">
        <is>
          <t>Offer发放日期</t>
        </is>
      </c>
      <c r="S1" s="1" t="inlineStr">
        <is>
          <t>入职日期</t>
        </is>
      </c>
      <c r="T1" s="1" t="inlineStr">
        <is>
          <t>是否乐器爱好者</t>
        </is>
      </c>
      <c r="U1" s="1" t="inlineStr">
        <is>
          <t>备注</t>
        </is>
      </c>
    </row>
    <row r="2">
      <c r="A2" t="inlineStr">
        <is>
          <t>C001</t>
        </is>
      </c>
      <c r="B2" t="inlineStr">
        <is>
          <t>2026-06-01</t>
        </is>
      </c>
      <c r="C2" t="inlineStr">
        <is>
          <t>候选人A</t>
        </is>
      </c>
      <c r="D2" t="inlineStr">
        <is>
          <t>男</t>
        </is>
      </c>
      <c r="E2" t="n">
        <v>25</v>
      </c>
      <c r="F2" t="inlineStr">
        <is>
          <t>BOSS直聘</t>
        </is>
      </c>
      <c r="G2" t="inlineStr">
        <is>
          <t>13800138001</t>
        </is>
      </c>
      <c r="H2" t="inlineStr">
        <is>
          <t>a@example.com</t>
        </is>
      </c>
      <c r="I2" t="inlineStr">
        <is>
          <t>已投递</t>
        </is>
      </c>
      <c r="J2" t="n">
        <v>1</v>
      </c>
      <c r="K2" t="inlineStr">
        <is>
          <t>CET-6</t>
        </is>
      </c>
      <c r="L2" t="n">
        <v>6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是</t>
        </is>
      </c>
      <c r="U2" t="inlineStr"/>
    </row>
    <row r="3">
      <c r="A3" t="inlineStr">
        <is>
          <t>C002</t>
        </is>
      </c>
      <c r="B3" t="inlineStr">
        <is>
          <t>2026-06-02</t>
        </is>
      </c>
      <c r="C3" t="inlineStr">
        <is>
          <t>候选人B</t>
        </is>
      </c>
      <c r="D3" t="inlineStr">
        <is>
          <t>女</t>
        </is>
      </c>
      <c r="E3" t="n">
        <v>24</v>
      </c>
      <c r="F3" t="inlineStr">
        <is>
          <t>智联招聘</t>
        </is>
      </c>
      <c r="G3" t="inlineStr">
        <is>
          <t>13800138002</t>
        </is>
      </c>
      <c r="H3" t="inlineStr">
        <is>
          <t>b@example.com</t>
        </is>
      </c>
      <c r="I3" t="inlineStr">
        <is>
          <t>初筛通过</t>
        </is>
      </c>
      <c r="J3" t="n">
        <v>2</v>
      </c>
      <c r="K3" t="inlineStr">
        <is>
          <t>专四</t>
        </is>
      </c>
      <c r="L3" t="n">
        <v>7</v>
      </c>
      <c r="M3" t="inlineStr">
        <is>
          <t>通过</t>
        </is>
      </c>
      <c r="N3" t="inlineStr"/>
      <c r="O3" t="inlineStr"/>
      <c r="P3" t="inlineStr"/>
      <c r="Q3" t="inlineStr"/>
      <c r="R3" t="inlineStr"/>
      <c r="S3" t="inlineStr"/>
      <c r="T3" t="inlineStr">
        <is>
          <t>否</t>
        </is>
      </c>
      <c r="U3" t="inlineStr"/>
    </row>
    <row r="4">
      <c r="A4" t="inlineStr">
        <is>
          <t>C003</t>
        </is>
      </c>
      <c r="B4" t="inlineStr">
        <is>
          <t>2026-06-03</t>
        </is>
      </c>
      <c r="C4" t="inlineStr">
        <is>
          <t>候选人C</t>
        </is>
      </c>
      <c r="D4" t="inlineStr">
        <is>
          <t>男</t>
        </is>
      </c>
      <c r="E4" t="n">
        <v>27</v>
      </c>
      <c r="F4" t="inlineStr">
        <is>
          <t>猎聘</t>
        </is>
      </c>
      <c r="G4" t="inlineStr">
        <is>
          <t>13800138003</t>
        </is>
      </c>
      <c r="H4" t="inlineStr">
        <is>
          <t>c@example.com</t>
        </is>
      </c>
      <c r="I4" t="inlineStr">
        <is>
          <t>一面通过</t>
        </is>
      </c>
      <c r="J4" t="n">
        <v>3</v>
      </c>
      <c r="K4" t="inlineStr">
        <is>
          <t>CET-4</t>
        </is>
      </c>
      <c r="L4" t="n">
        <v>8</v>
      </c>
      <c r="M4" t="inlineStr">
        <is>
          <t>通过</t>
        </is>
      </c>
      <c r="N4" t="inlineStr">
        <is>
          <t>2026-06-10</t>
        </is>
      </c>
      <c r="O4" t="inlineStr">
        <is>
          <t>及格</t>
        </is>
      </c>
      <c r="P4" t="inlineStr"/>
      <c r="Q4" t="inlineStr"/>
      <c r="R4" t="inlineStr"/>
      <c r="S4" t="inlineStr"/>
      <c r="T4" t="inlineStr">
        <is>
          <t>是</t>
        </is>
      </c>
      <c r="U4" t="inlineStr"/>
    </row>
    <row r="5">
      <c r="A5" t="inlineStr">
        <is>
          <t>C004</t>
        </is>
      </c>
      <c r="B5" t="inlineStr">
        <is>
          <t>2026-06-04</t>
        </is>
      </c>
      <c r="C5" t="inlineStr">
        <is>
          <t>候选人D</t>
        </is>
      </c>
      <c r="D5" t="inlineStr">
        <is>
          <t>女</t>
        </is>
      </c>
      <c r="E5" t="n">
        <v>26</v>
      </c>
      <c r="F5" t="inlineStr">
        <is>
          <t>内推</t>
        </is>
      </c>
      <c r="G5" t="inlineStr">
        <is>
          <t>13800138004</t>
        </is>
      </c>
      <c r="H5" t="inlineStr">
        <is>
          <t>d@example.com</t>
        </is>
      </c>
      <c r="I5" t="inlineStr">
        <is>
          <t>Offer已发</t>
        </is>
      </c>
      <c r="J5" t="n">
        <v>2</v>
      </c>
      <c r="K5" t="inlineStr">
        <is>
          <t>专八</t>
        </is>
      </c>
      <c r="L5" t="n">
        <v>8</v>
      </c>
      <c r="M5" t="inlineStr">
        <is>
          <t>通过</t>
        </is>
      </c>
      <c r="N5" t="inlineStr">
        <is>
          <t>2026-06-11</t>
        </is>
      </c>
      <c r="O5" t="inlineStr">
        <is>
          <t>优秀</t>
        </is>
      </c>
      <c r="P5" t="inlineStr">
        <is>
          <t>2026-06-15</t>
        </is>
      </c>
      <c r="Q5" t="inlineStr">
        <is>
          <t>通过</t>
        </is>
      </c>
      <c r="R5" t="inlineStr">
        <is>
          <t>2026-06-20</t>
        </is>
      </c>
      <c r="S5" t="inlineStr"/>
      <c r="T5" t="inlineStr">
        <is>
          <t>是</t>
        </is>
      </c>
      <c r="U5" t="inlineStr"/>
    </row>
    <row r="6">
      <c r="A6" t="inlineStr">
        <is>
          <t>C005</t>
        </is>
      </c>
      <c r="B6" t="inlineStr">
        <is>
          <t>2026-06-05</t>
        </is>
      </c>
      <c r="C6" t="inlineStr">
        <is>
          <t>候选人E</t>
        </is>
      </c>
      <c r="D6" t="inlineStr">
        <is>
          <t>男</t>
        </is>
      </c>
      <c r="E6" t="n">
        <v>28</v>
      </c>
      <c r="F6" t="inlineStr">
        <is>
          <t>其他</t>
        </is>
      </c>
      <c r="G6" t="inlineStr">
        <is>
          <t>13800138005</t>
        </is>
      </c>
      <c r="H6" t="inlineStr">
        <is>
          <t>e@example.com</t>
        </is>
      </c>
      <c r="I6" t="inlineStr">
        <is>
          <t>已入职</t>
        </is>
      </c>
      <c r="J6" t="n">
        <v>4</v>
      </c>
      <c r="K6" t="inlineStr">
        <is>
          <t>CET-6</t>
        </is>
      </c>
      <c r="L6" t="n">
        <v>10</v>
      </c>
      <c r="M6" t="inlineStr">
        <is>
          <t>通过</t>
        </is>
      </c>
      <c r="N6" t="inlineStr">
        <is>
          <t>2026-06-12</t>
        </is>
      </c>
      <c r="O6" t="inlineStr">
        <is>
          <t>优秀</t>
        </is>
      </c>
      <c r="P6" t="inlineStr">
        <is>
          <t>2026-06-16</t>
        </is>
      </c>
      <c r="Q6" t="inlineStr">
        <is>
          <t>通过</t>
        </is>
      </c>
      <c r="R6" t="inlineStr">
        <is>
          <t>2026-06-21</t>
        </is>
      </c>
      <c r="S6" t="inlineStr">
        <is>
          <t>2026-07-01</t>
        </is>
      </c>
      <c r="T6" t="inlineStr">
        <is>
          <t>否</t>
        </is>
      </c>
      <c r="U6" t="inlineStr"/>
    </row>
  </sheetData>
  <dataValidations count="3">
    <dataValidation sqref="F2:F100" showDropDown="0" showInputMessage="0" showErrorMessage="0" allowBlank="1" type="list">
      <formula1>"BOSS直聘,智联招聘,猎聘,内推,其他"</formula1>
    </dataValidation>
    <dataValidation sqref="I2:I100" showDropDown="0" showInputMessage="0" showErrorMessage="0" allowBlank="1" type="list">
      <formula1>"已投递,简历淘汰,初筛通过,一面通过,一面淘汰,二面通过,二面淘汰,Offer已发,Offer拒绝,已入职,试用期淘汰"</formula1>
    </dataValidation>
    <dataValidation sqref="K2:K100" showDropDown="0" showInputMessage="0" showErrorMessage="0" allowBlank="1" type="list">
      <formula1>"CET-4,CET-6,专四,专八,其他"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0.9" customWidth="1" min="3" max="3"/>
    <col width="15.4" customWidth="1" min="4" max="4"/>
    <col width="10" customWidth="1" min="5" max="5"/>
  </cols>
  <sheetData>
    <row r="1">
      <c r="A1" s="1" t="inlineStr">
        <is>
          <t>阶段</t>
        </is>
      </c>
      <c r="B1" s="1" t="inlineStr">
        <is>
          <t>人数</t>
        </is>
      </c>
      <c r="C1" s="1" t="inlineStr">
        <is>
          <t>转化率</t>
        </is>
      </c>
      <c r="D1" s="1" t="inlineStr">
        <is>
          <t>健康目标</t>
        </is>
      </c>
      <c r="E1" s="1" t="inlineStr">
        <is>
          <t>备注</t>
        </is>
      </c>
    </row>
    <row r="2">
      <c r="A2" t="inlineStr">
        <is>
          <t>简历投递</t>
        </is>
      </c>
      <c r="B2">
        <f>COUNTA('候选人主表'!$A:$A)-1</f>
        <v/>
      </c>
      <c r="C2" s="2" t="inlineStr">
        <is>
          <t>100%</t>
        </is>
      </c>
      <c r="D2" t="inlineStr">
        <is>
          <t>-</t>
        </is>
      </c>
    </row>
    <row r="3">
      <c r="A3" t="inlineStr">
        <is>
          <t>初筛通过</t>
        </is>
      </c>
      <c r="B3">
        <f>COUNTIF('候选人主表'!$I:$I, "初筛通过") + COUNTIF('候选人主表'!$I:$I, "一面通过") + COUNTIF('候选人主表'!$I:$I, "一面淘汰") + COUNTIF('候选人主表'!$I:$I, "二面通过") + COUNTIF('候选人主表'!$I:$I, "二面淘汰") + COUNTIF('候选人主表'!$I:$I, "Offer已发") + COUNTIF('候选人主表'!$I:$I, "Offer拒绝") + COUNTIF('候选人主表'!$I:$I, "已入职") + COUNTIF('候选人主表'!$I:$I, "试用期淘汰")</f>
        <v/>
      </c>
      <c r="C3" s="2">
        <f>IF(B2=0,0,B3/B2)</f>
        <v/>
      </c>
      <c r="D3" t="inlineStr">
        <is>
          <t>30%</t>
        </is>
      </c>
    </row>
    <row r="4">
      <c r="A4" t="inlineStr">
        <is>
          <t>一面通过</t>
        </is>
      </c>
      <c r="B4">
        <f>COUNTIF('候选人主表'!$I:$I, "一面通过") + COUNTIF('候选人主表'!$I:$I, "二面通过") + COUNTIF('候选人主表'!$I:$I, "二面淘汰") + COUNTIF('候选人主表'!$I:$I, "Offer已发") + COUNTIF('候选人主表'!$I:$I, "Offer拒绝") + COUNTIF('候选人主表'!$I:$I, "已入职") + COUNTIF('候选人主表'!$I:$I, "试用期淘汰")</f>
        <v/>
      </c>
      <c r="C4" s="2">
        <f>IF(B3=0,0,B4/B3)</f>
        <v/>
      </c>
      <c r="D4" t="inlineStr">
        <is>
          <t>50%</t>
        </is>
      </c>
    </row>
    <row r="5">
      <c r="A5" t="inlineStr">
        <is>
          <t>二面通过</t>
        </is>
      </c>
      <c r="B5">
        <f>COUNTIF('候选人主表'!$I:$I, "二面通过") + COUNTIF('候选人主表'!$I:$I, "Offer已发") + COUNTIF('候选人主表'!$I:$I, "Offer拒绝") + COUNTIF('候选人主表'!$I:$I, "已入职") + COUNTIF('候选人主表'!$I:$I, "试用期淘汰")</f>
        <v/>
      </c>
      <c r="C5" s="2">
        <f>IF(B4=0,0,B5/B4)</f>
        <v/>
      </c>
      <c r="D5" t="inlineStr">
        <is>
          <t>60%</t>
        </is>
      </c>
    </row>
    <row r="6">
      <c r="A6" t="inlineStr">
        <is>
          <t>Offer发放</t>
        </is>
      </c>
      <c r="B6">
        <f>COUNTIF('候选人主表'!$I:$I, "Offer已发") + COUNTIF('候选人主表'!$I:$I, "Offer拒绝") + COUNTIF('候选人主表'!$I:$I, "已入职") + COUNTIF('候选人主表'!$I:$I, "试用期淘汰")</f>
        <v/>
      </c>
      <c r="C6" s="2">
        <f>IF(B5=0,0,B6/B5)</f>
        <v/>
      </c>
      <c r="D6" t="inlineStr">
        <is>
          <t>80%</t>
        </is>
      </c>
    </row>
    <row r="7">
      <c r="A7" t="inlineStr">
        <is>
          <t>成功入职</t>
        </is>
      </c>
      <c r="B7">
        <f>COUNTIF('候选人主表'!$I:$I, "已入职") + COUNTIF('候选人主表'!$I:$I, "试用期淘汰")</f>
        <v/>
      </c>
      <c r="C7" s="2">
        <f>IF(B6=0,0,B7/B6)</f>
        <v/>
      </c>
      <c r="D7" t="inlineStr">
        <is>
          <t>70%</t>
        </is>
      </c>
    </row>
    <row r="8"/>
    <row r="9">
      <c r="A9" t="inlineStr">
        <is>
          <t>如果某环节转化率低于目标 20%，需立即与 HR 复盘原因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8.7" customWidth="1" min="2" max="2"/>
    <col width="13.2" customWidth="1" min="3" max="3"/>
    <col width="15.4" customWidth="1" min="4" max="4"/>
    <col width="33" customWidth="1" min="5" max="5"/>
    <col width="28.6" customWidth="1" min="6" max="6"/>
    <col width="23.1" customWidth="1" min="7" max="7"/>
    <col width="29.7" customWidth="1" min="8" max="8"/>
    <col width="26.4" customWidth="1" min="9" max="9"/>
    <col width="23.1" customWidth="1" min="10" max="10"/>
    <col width="14.3" customWidth="1" min="11" max="11"/>
    <col width="40" customWidth="1" min="12" max="12"/>
  </cols>
  <sheetData>
    <row r="1">
      <c r="A1" s="1" t="inlineStr">
        <is>
          <t>候选人编号</t>
        </is>
      </c>
      <c r="B1" s="1" t="inlineStr">
        <is>
          <t>候选人姓名</t>
        </is>
      </c>
      <c r="C1" s="1" t="inlineStr">
        <is>
          <t>面试官</t>
        </is>
      </c>
      <c r="D1" s="1" t="inlineStr">
        <is>
          <t>面试日期</t>
        </is>
      </c>
      <c r="E1" s="1" t="inlineStr">
        <is>
          <t>国际站运营理解(20分)</t>
        </is>
      </c>
      <c r="F1" s="1" t="inlineStr">
        <is>
          <t>AI工具熟练度(20分)</t>
        </is>
      </c>
      <c r="G1" s="1" t="inlineStr">
        <is>
          <t>英语沟通(15分)</t>
        </is>
      </c>
      <c r="H1" s="1" t="inlineStr">
        <is>
          <t>数据分析能力(15分)</t>
        </is>
      </c>
      <c r="I1" s="1" t="inlineStr">
        <is>
          <t>文化匹配度(15分)</t>
        </is>
      </c>
      <c r="J1" s="1" t="inlineStr">
        <is>
          <t>学习能力(15分)</t>
        </is>
      </c>
      <c r="K1" s="1" t="inlineStr">
        <is>
          <t>总分</t>
        </is>
      </c>
      <c r="L1" s="1" t="inlineStr">
        <is>
          <t>录用建议</t>
        </is>
      </c>
    </row>
    <row r="2">
      <c r="A2" t="inlineStr">
        <is>
          <t>C003</t>
        </is>
      </c>
      <c r="B2" t="inlineStr">
        <is>
          <t>候选人C</t>
        </is>
      </c>
      <c r="C2" t="inlineStr">
        <is>
          <t>面试官X</t>
        </is>
      </c>
      <c r="D2" t="inlineStr">
        <is>
          <t>2026-06-10</t>
        </is>
      </c>
      <c r="E2" t="n">
        <v>15</v>
      </c>
      <c r="F2" t="n">
        <v>12</v>
      </c>
      <c r="G2" t="n">
        <v>12</v>
      </c>
      <c r="H2" t="n">
        <v>10</v>
      </c>
      <c r="I2" t="n">
        <v>12</v>
      </c>
      <c r="J2" t="n">
        <v>13</v>
      </c>
      <c r="K2">
        <f>SUM(E2:J2)</f>
        <v/>
      </c>
      <c r="L2">
        <f>IF(K2&gt;=80,"强烈推荐",IF(K2&gt;=60,"推荐","不推荐"))</f>
        <v/>
      </c>
    </row>
    <row r="3">
      <c r="A3" t="inlineStr">
        <is>
          <t>C004</t>
        </is>
      </c>
      <c r="B3" t="inlineStr">
        <is>
          <t>候选人D</t>
        </is>
      </c>
      <c r="C3" t="inlineStr">
        <is>
          <t>面试官Y</t>
        </is>
      </c>
      <c r="D3" t="inlineStr">
        <is>
          <t>2026-06-11</t>
        </is>
      </c>
      <c r="E3" t="n">
        <v>18</v>
      </c>
      <c r="F3" t="n">
        <v>18</v>
      </c>
      <c r="G3" t="n">
        <v>14</v>
      </c>
      <c r="H3" t="n">
        <v>14</v>
      </c>
      <c r="I3" t="n">
        <v>13</v>
      </c>
      <c r="J3" t="n">
        <v>14</v>
      </c>
      <c r="K3">
        <f>SUM(E3:J3)</f>
        <v/>
      </c>
      <c r="L3">
        <f>IF(K3&gt;=80,"强烈推荐",IF(K3&gt;=60,"推荐","不推荐"))</f>
        <v/>
      </c>
    </row>
  </sheetData>
  <conditionalFormatting sqref="K2:K100">
    <cfRule type="colorScale" priority="1">
      <colorScale>
        <cfvo type="num" val="0"/>
        <cfvo type="num" val="6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4" customWidth="1" min="1" max="1"/>
    <col width="15.4" customWidth="1" min="2" max="2"/>
    <col width="22" customWidth="1" min="3" max="3"/>
    <col width="23.1" customWidth="1" min="4" max="4"/>
    <col width="23.1" customWidth="1" min="5" max="5"/>
    <col width="23.1" customWidth="1" min="6" max="6"/>
    <col width="22" customWidth="1" min="7" max="7"/>
    <col width="15.4" customWidth="1" min="8" max="8"/>
    <col width="15.4" customWidth="1" min="9" max="9"/>
  </cols>
  <sheetData>
    <row r="1">
      <c r="A1" s="1" t="inlineStr">
        <is>
          <t>员工姓名</t>
        </is>
      </c>
      <c r="B1" s="1" t="inlineStr">
        <is>
          <t>入职日期</t>
        </is>
      </c>
      <c r="C1" s="1" t="inlineStr">
        <is>
          <t>试用期到期日</t>
        </is>
      </c>
      <c r="D1" s="1" t="inlineStr">
        <is>
          <t>第1月KPI达成率</t>
        </is>
      </c>
      <c r="E1" s="1" t="inlineStr">
        <is>
          <t>第2月KPI达成率</t>
        </is>
      </c>
      <c r="F1" s="1" t="inlineStr">
        <is>
          <t>第3月KPI达成率</t>
        </is>
      </c>
      <c r="G1" s="1" t="inlineStr">
        <is>
          <t>主管月度评分</t>
        </is>
      </c>
      <c r="H1" s="1" t="inlineStr">
        <is>
          <t>转正建议</t>
        </is>
      </c>
      <c r="I1" s="1" t="inlineStr">
        <is>
          <t>转正日期</t>
        </is>
      </c>
    </row>
    <row r="2">
      <c r="A2" t="inlineStr">
        <is>
          <t>候选人E</t>
        </is>
      </c>
      <c r="B2" t="inlineStr">
        <is>
          <t>2026-07-01</t>
        </is>
      </c>
      <c r="C2">
        <f>B2+90</f>
        <v/>
      </c>
      <c r="D2" s="2" t="n">
        <v>0.95</v>
      </c>
      <c r="E2" s="2" t="n">
        <v>0.98</v>
      </c>
      <c r="F2" s="2" t="n">
        <v>1</v>
      </c>
      <c r="G2" t="n">
        <v>90</v>
      </c>
      <c r="H2" t="inlineStr">
        <is>
          <t>建议转正</t>
        </is>
      </c>
      <c r="I2" t="inlineStr">
        <is>
          <t>2026-10-01</t>
        </is>
      </c>
    </row>
  </sheetData>
  <conditionalFormatting sqref="D2:F100">
    <cfRule type="cellIs" priority="1" operator="greaterThanOrEqual" dxfId="0">
      <formula>0.9</formula>
    </cfRule>
    <cfRule type="cellIs" priority="2" operator="between" dxfId="1">
      <formula>0.6</formula>
      <formula>0.89</formula>
    </cfRule>
    <cfRule type="cellIs" priority="3" operator="lessThan" dxfId="2">
      <formula>0.6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2026-06-27T17:10:22Z</dcterms:created>
  <dcterms:modified xmlns:dcterms="http://purl.org/dc/terms/" xmlns:xsi="http://www.w3.org/2001/XMLSchema-instance" xsi:type="dcterms:W3CDTF">2026-06-27T17:10:22Z</dcterms:modified>
</cp:coreProperties>
</file>